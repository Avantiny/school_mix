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ny\Downloads\"/>
    </mc:Choice>
  </mc:AlternateContent>
  <xr:revisionPtr revIDLastSave="0" documentId="13_ncr:1_{1D625CFF-B318-4A51-B182-CD5251113853}" xr6:coauthVersionLast="47" xr6:coauthVersionMax="47" xr10:uidLastSave="{00000000-0000-0000-0000-000000000000}"/>
  <bookViews>
    <workbookView xWindow="1080" yWindow="1080" windowWidth="17280" windowHeight="8964" xr2:uid="{00000000-000D-0000-FFFF-FFFF00000000}"/>
  </bookViews>
  <sheets>
    <sheet name="QRD + PR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G16" i="1"/>
  <c r="D6" i="1"/>
  <c r="C7" i="1" a="1"/>
  <c r="C7" i="1" l="1"/>
  <c r="I10" i="1"/>
  <c r="I13" i="1"/>
  <c r="I9" i="1"/>
  <c r="I5" i="1"/>
  <c r="I12" i="1"/>
  <c r="I8" i="1"/>
  <c r="I11" i="1"/>
  <c r="I7" i="1"/>
  <c r="I4" i="1"/>
  <c r="I6" i="1"/>
  <c r="H22" i="1" l="1"/>
  <c r="I22" i="1" s="1"/>
  <c r="H13" i="1"/>
  <c r="J13" i="1" s="1"/>
  <c r="H27" i="1"/>
  <c r="I27" i="1" s="1"/>
  <c r="H24" i="1"/>
  <c r="I24" i="1" s="1"/>
  <c r="H28" i="1"/>
  <c r="I28" i="1" s="1"/>
  <c r="H6" i="1"/>
  <c r="J6" i="1" s="1"/>
  <c r="H10" i="1"/>
  <c r="J10" i="1" s="1"/>
  <c r="H4" i="1"/>
  <c r="J4" i="1" s="1"/>
  <c r="H21" i="1"/>
  <c r="I21" i="1" s="1"/>
  <c r="H25" i="1"/>
  <c r="I25" i="1" s="1"/>
  <c r="H29" i="1"/>
  <c r="I29" i="1" s="1"/>
  <c r="H7" i="1"/>
  <c r="J7" i="1" s="1"/>
  <c r="H11" i="1"/>
  <c r="J11" i="1" s="1"/>
  <c r="H26" i="1"/>
  <c r="I26" i="1" s="1"/>
  <c r="H20" i="1"/>
  <c r="I20" i="1" s="1"/>
  <c r="H8" i="1"/>
  <c r="J8" i="1" s="1"/>
  <c r="H12" i="1"/>
  <c r="J12" i="1" s="1"/>
  <c r="H23" i="1"/>
  <c r="I23" i="1" s="1"/>
  <c r="H5" i="1"/>
  <c r="J5" i="1" s="1"/>
  <c r="H9" i="1"/>
  <c r="J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<sst xmlns="http://schemas.openxmlformats.org/spreadsheetml/2006/main" count="18" uniqueCount="14">
  <si>
    <t>fmax</t>
  </si>
  <si>
    <t>fmin</t>
  </si>
  <si>
    <t>Hz</t>
  </si>
  <si>
    <t>počet laloků</t>
  </si>
  <si>
    <t>N</t>
  </si>
  <si>
    <t>N(prime)</t>
  </si>
  <si>
    <t>n</t>
  </si>
  <si>
    <t>QRD</t>
  </si>
  <si>
    <t>s(n)</t>
  </si>
  <si>
    <t>r</t>
  </si>
  <si>
    <t>c</t>
  </si>
  <si>
    <t>w</t>
  </si>
  <si>
    <t>PRD</t>
  </si>
  <si>
    <t>d(n)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</si>
</sst>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d(n) PRD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'QRD + PRD'!$I$20:$I$29</c:f>
              <c:numCache>
                <c:formatCode>General</c:formatCode>
                <c:ptCount val="10"/>
                <c:pt idx="0">
                  <c:v>3.090909090909091E-2</c:v>
                </c:pt>
                <c:pt idx="1">
                  <c:v>6.1818181818181821E-2</c:v>
                </c:pt>
                <c:pt idx="2">
                  <c:v>0.12363636363636364</c:v>
                </c:pt>
                <c:pt idx="3">
                  <c:v>7.7272727272727271E-2</c:v>
                </c:pt>
                <c:pt idx="4">
                  <c:v>0.15454545454545454</c:v>
                </c:pt>
                <c:pt idx="5">
                  <c:v>0.1390909090909091</c:v>
                </c:pt>
                <c:pt idx="6">
                  <c:v>0.10818181818181817</c:v>
                </c:pt>
                <c:pt idx="7">
                  <c:v>4.6363636363636364E-2</c:v>
                </c:pt>
                <c:pt idx="8">
                  <c:v>9.2727272727272728E-2</c:v>
                </c:pt>
                <c:pt idx="9">
                  <c:v>1.5454545454545455E-2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D-412D-B42B-2875F363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544016"/>
        <c:axId val="696544848"/>
      </c:barChart>
      <c:catAx>
        <c:axId val="696544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96544848"/>
        <c:crosses val="autoZero"/>
        <c:auto val="1"/>
        <c:lblAlgn val="ctr"/>
        <c:lblOffset val="100"/>
        <c:noMultiLvlLbl val="0"/>
      </c:catAx>
      <c:valAx>
        <c:axId val="69654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965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d(n) QRD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'QRD + PRD'!$J$4:$J$13</c:f>
              <c:numCache>
                <c:formatCode>General</c:formatCode>
                <c:ptCount val="10"/>
                <c:pt idx="0">
                  <c:v>1.5454545454545455E-2</c:v>
                </c:pt>
                <c:pt idx="1">
                  <c:v>6.1818181818181821E-2</c:v>
                </c:pt>
                <c:pt idx="2">
                  <c:v>0.1390909090909091</c:v>
                </c:pt>
                <c:pt idx="3">
                  <c:v>7.7272727272727271E-2</c:v>
                </c:pt>
                <c:pt idx="4">
                  <c:v>4.6363636363636364E-2</c:v>
                </c:pt>
                <c:pt idx="5">
                  <c:v>4.6363636363636364E-2</c:v>
                </c:pt>
                <c:pt idx="6">
                  <c:v>7.7272727272727271E-2</c:v>
                </c:pt>
                <c:pt idx="7">
                  <c:v>0.1390909090909091</c:v>
                </c:pt>
                <c:pt idx="8">
                  <c:v>6.1818181818181821E-2</c:v>
                </c:pt>
                <c:pt idx="9">
                  <c:v>1.5454545454545455E-2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CB-4650-8A48-C3C1A4FE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226448"/>
        <c:axId val="696232688"/>
      </c:barChart>
      <c:catAx>
        <c:axId val="696226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96232688"/>
        <c:crosses val="autoZero"/>
        <c:auto val="1"/>
        <c:lblAlgn val="ctr"/>
        <c:lblOffset val="100"/>
        <c:noMultiLvlLbl val="0"/>
      </c:catAx>
      <c:valAx>
        <c:axId val="69623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9622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16</xdr:row>
      <xdr:rowOff>179070</xdr:rowOff>
    </xdr:from>
    <xdr:to>
      <xdr:col>18</xdr:col>
      <xdr:colOff>30480</xdr:colOff>
      <xdr:row>31</xdr:row>
      <xdr:rowOff>179070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C31019E-21D0-4331-9CF5-299729E97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0</xdr:row>
      <xdr:rowOff>179070</xdr:rowOff>
    </xdr:from>
    <xdr:to>
      <xdr:col>19</xdr:col>
      <xdr:colOff>22860</xdr:colOff>
      <xdr:row>15</xdr:row>
      <xdr:rowOff>179070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4B3D12EA-FD06-454E-81FC-09EEDE42E2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2:L29"/>
  <sheetViews>
    <sheetView tabSelected="1" topLeftCell="D2" workbookViewId="0">
      <selection activeCell="I6" sqref="I6"/>
    </sheetView>
  </sheetViews>
  <sheetFormatPr defaultRowHeight="14.4" x14ac:dyDescent="0.3"/>
  <cols>
    <col min="1" max="1" width="3" customWidth="1"/>
    <col min="2" max="2" width="19.6640625" customWidth="1"/>
    <col min="3" max="3" width="13.44140625" customWidth="1"/>
    <col min="4" max="4" width="16.88671875" customWidth="1"/>
    <col min="5" max="5" width="4.6640625" customWidth="1"/>
    <col min="6" max="6" width="7.88671875" customWidth="1"/>
    <col min="8" max="8" width="9.5546875" bestFit="1" customWidth="1"/>
    <col min="9" max="9" width="9.44140625" customWidth="1"/>
    <col min="10" max="10" width="10.44140625" customWidth="1"/>
    <col min="12" max="12" width="4.109375" customWidth="1"/>
  </cols>
  <sheetData>
    <row r="2" spans="2:12" x14ac:dyDescent="0.3">
      <c r="B2" s="1" t="s">
        <v>3</v>
      </c>
      <c r="C2" s="1">
        <v>5</v>
      </c>
      <c r="D2" s="1"/>
      <c r="G2" s="2" t="s">
        <v>7</v>
      </c>
    </row>
    <row r="3" spans="2:12" x14ac:dyDescent="0.3">
      <c r="B3" s="1" t="s">
        <v>1</v>
      </c>
      <c r="C3" s="1">
        <v>1000</v>
      </c>
      <c r="D3" s="1" t="s">
        <v>2</v>
      </c>
      <c r="G3" t="s">
        <v>6</v>
      </c>
      <c r="H3" t="s">
        <v>8</v>
      </c>
      <c r="I3" t="s">
        <v>9</v>
      </c>
      <c r="J3" t="s">
        <v>13</v>
      </c>
    </row>
    <row r="4" spans="2:12" x14ac:dyDescent="0.3">
      <c r="B4" s="1" t="s">
        <v>0</v>
      </c>
      <c r="C4" s="1">
        <v>2100</v>
      </c>
      <c r="D4" s="1" t="s">
        <v>2</v>
      </c>
      <c r="G4">
        <v>1</v>
      </c>
      <c r="H4">
        <f>MOD(POWER(G4,2),$C$7)</f>
        <v>1</v>
      </c>
      <c r="I4">
        <f>isPrimitiveRoot(G4,$C$7)</f>
        <v>0</v>
      </c>
      <c r="J4">
        <f>(H4*$C$12/$C$3)/(2*$C$7)</f>
        <v>1.5454545454545455E-2</v>
      </c>
    </row>
    <row r="5" spans="2:12" x14ac:dyDescent="0.3">
      <c r="B5" s="2"/>
      <c r="C5" s="2"/>
      <c r="D5" s="2"/>
      <c r="G5">
        <v>2</v>
      </c>
      <c r="H5">
        <f t="shared" ref="H5:H13" si="0">MOD(POWER(G5,2),$C$7)</f>
        <v>4</v>
      </c>
      <c r="I5">
        <f t="shared" ref="I5:I13" si="1">isPrimitiveRoot(G5,$C$7)</f>
        <v>1</v>
      </c>
      <c r="J5">
        <f t="shared" ref="J5:J13" si="2">(H5*$C$12/$C$3)/(2*$C$7)</f>
        <v>6.1818181818181821E-2</v>
      </c>
      <c r="K5" s="3"/>
      <c r="L5" s="3"/>
    </row>
    <row r="6" spans="2:12" x14ac:dyDescent="0.3">
      <c r="B6" s="1" t="s">
        <v>4</v>
      </c>
      <c r="C6">
        <f>(C2-1)*(C4/C3)</f>
        <v>8.4</v>
      </c>
      <c r="D6">
        <f>CEILING(C6,1)</f>
        <v>9</v>
      </c>
      <c r="F6" s="2"/>
      <c r="G6">
        <v>3</v>
      </c>
      <c r="H6">
        <f t="shared" si="0"/>
        <v>9</v>
      </c>
      <c r="I6">
        <f>isPrimitiveRoot(G6,$C$7)</f>
        <v>0</v>
      </c>
      <c r="J6">
        <f t="shared" si="2"/>
        <v>0.1390909090909091</v>
      </c>
    </row>
    <row r="7" spans="2:12" x14ac:dyDescent="0.3">
      <c r="B7" s="1" t="s">
        <v>5</v>
      </c>
      <c r="C7" cm="1">
        <f t="array" ref="C7">nextprime(D6)</f>
        <v>11</v>
      </c>
      <c r="F7" s="2"/>
      <c r="G7">
        <v>4</v>
      </c>
      <c r="H7">
        <f t="shared" si="0"/>
        <v>5</v>
      </c>
      <c r="I7">
        <f t="shared" si="1"/>
        <v>0</v>
      </c>
      <c r="J7">
        <f t="shared" si="2"/>
        <v>7.7272727272727271E-2</v>
      </c>
    </row>
    <row r="8" spans="2:12" x14ac:dyDescent="0.3">
      <c r="F8" s="2"/>
      <c r="G8">
        <v>5</v>
      </c>
      <c r="H8">
        <f t="shared" si="0"/>
        <v>3</v>
      </c>
      <c r="I8">
        <f t="shared" si="1"/>
        <v>0</v>
      </c>
      <c r="J8">
        <f t="shared" si="2"/>
        <v>4.6363636363636364E-2</v>
      </c>
    </row>
    <row r="9" spans="2:12" ht="14.4" customHeight="1" x14ac:dyDescent="0.3">
      <c r="F9" s="2"/>
      <c r="G9">
        <v>6</v>
      </c>
      <c r="H9">
        <f t="shared" si="0"/>
        <v>3</v>
      </c>
      <c r="I9">
        <f t="shared" si="1"/>
        <v>1</v>
      </c>
      <c r="J9">
        <f t="shared" si="2"/>
        <v>4.6363636363636364E-2</v>
      </c>
    </row>
    <row r="10" spans="2:12" ht="14.4" customHeight="1" x14ac:dyDescent="0.3">
      <c r="F10" s="2"/>
      <c r="G10">
        <v>7</v>
      </c>
      <c r="H10">
        <f t="shared" si="0"/>
        <v>5</v>
      </c>
      <c r="I10">
        <f t="shared" si="1"/>
        <v>1</v>
      </c>
      <c r="J10">
        <f>(H10*$C$12/$C$3)/(2*$C$7)</f>
        <v>7.7272727272727271E-2</v>
      </c>
    </row>
    <row r="11" spans="2:12" x14ac:dyDescent="0.3">
      <c r="F11" s="2"/>
      <c r="G11">
        <v>8</v>
      </c>
      <c r="H11">
        <f t="shared" si="0"/>
        <v>9</v>
      </c>
      <c r="I11">
        <f t="shared" si="1"/>
        <v>1</v>
      </c>
      <c r="J11">
        <f t="shared" si="2"/>
        <v>0.1390909090909091</v>
      </c>
    </row>
    <row r="12" spans="2:12" x14ac:dyDescent="0.3">
      <c r="B12" t="s">
        <v>10</v>
      </c>
      <c r="C12">
        <v>340</v>
      </c>
      <c r="F12" s="2"/>
      <c r="G12">
        <v>9</v>
      </c>
      <c r="H12">
        <f t="shared" si="0"/>
        <v>4</v>
      </c>
      <c r="I12">
        <f t="shared" si="1"/>
        <v>0</v>
      </c>
      <c r="J12">
        <f t="shared" si="2"/>
        <v>6.1818181818181821E-2</v>
      </c>
    </row>
    <row r="13" spans="2:12" x14ac:dyDescent="0.3">
      <c r="F13" s="2"/>
      <c r="G13">
        <v>10</v>
      </c>
      <c r="H13">
        <f t="shared" si="0"/>
        <v>1</v>
      </c>
      <c r="I13">
        <f t="shared" si="1"/>
        <v>0</v>
      </c>
      <c r="J13">
        <f t="shared" si="2"/>
        <v>1.5454545454545455E-2</v>
      </c>
    </row>
    <row r="14" spans="2:12" x14ac:dyDescent="0.3">
      <c r="F14" s="2"/>
    </row>
    <row r="15" spans="2:12" x14ac:dyDescent="0.3">
      <c r="F15" s="2"/>
      <c r="G15" s="2" t="s">
        <v>11</v>
      </c>
    </row>
    <row r="16" spans="2:12" x14ac:dyDescent="0.3">
      <c r="F16" s="2"/>
      <c r="G16">
        <f>C12/C4/2</f>
        <v>8.0952380952380956E-2</v>
      </c>
    </row>
    <row r="17" spans="6:9" x14ac:dyDescent="0.3">
      <c r="F17" s="2"/>
    </row>
    <row r="18" spans="6:9" x14ac:dyDescent="0.3">
      <c r="F18" s="2"/>
      <c r="G18" s="2" t="s">
        <v>12</v>
      </c>
    </row>
    <row r="19" spans="6:9" x14ac:dyDescent="0.3">
      <c r="F19" s="2"/>
      <c r="G19" t="s">
        <v>6</v>
      </c>
      <c r="H19" t="s">
        <v>8</v>
      </c>
      <c r="I19" t="s">
        <v>13</v>
      </c>
    </row>
    <row r="20" spans="6:9" x14ac:dyDescent="0.3">
      <c r="F20" s="2"/>
      <c r="G20">
        <v>1</v>
      </c>
      <c r="H20">
        <f>MOD(POWER(2,G20),$C$7)</f>
        <v>2</v>
      </c>
      <c r="I20">
        <f>(H20*$C$12/$C$3)/(2*$C$7)</f>
        <v>3.090909090909091E-2</v>
      </c>
    </row>
    <row r="21" spans="6:9" x14ac:dyDescent="0.3">
      <c r="F21" s="2"/>
      <c r="G21">
        <v>2</v>
      </c>
      <c r="H21">
        <f t="shared" ref="H21:H29" si="3">MOD(POWER(2,G21),$C$7)</f>
        <v>4</v>
      </c>
      <c r="I21">
        <f t="shared" ref="I21:I29" si="4">(H21*$C$12/$C$3)/(2*$C$7)</f>
        <v>6.1818181818181821E-2</v>
      </c>
    </row>
    <row r="22" spans="6:9" x14ac:dyDescent="0.3">
      <c r="F22" s="2"/>
      <c r="G22">
        <v>3</v>
      </c>
      <c r="H22">
        <f t="shared" si="3"/>
        <v>8</v>
      </c>
      <c r="I22">
        <f t="shared" si="4"/>
        <v>0.12363636363636364</v>
      </c>
    </row>
    <row r="23" spans="6:9" x14ac:dyDescent="0.3">
      <c r="G23">
        <v>4</v>
      </c>
      <c r="H23">
        <f t="shared" si="3"/>
        <v>5</v>
      </c>
      <c r="I23">
        <f t="shared" si="4"/>
        <v>7.7272727272727271E-2</v>
      </c>
    </row>
    <row r="24" spans="6:9" x14ac:dyDescent="0.3">
      <c r="G24">
        <v>5</v>
      </c>
      <c r="H24">
        <f t="shared" si="3"/>
        <v>10</v>
      </c>
      <c r="I24">
        <f t="shared" si="4"/>
        <v>0.15454545454545454</v>
      </c>
    </row>
    <row r="25" spans="6:9" x14ac:dyDescent="0.3">
      <c r="G25">
        <v>6</v>
      </c>
      <c r="H25">
        <f t="shared" si="3"/>
        <v>9</v>
      </c>
      <c r="I25">
        <f t="shared" si="4"/>
        <v>0.1390909090909091</v>
      </c>
    </row>
    <row r="26" spans="6:9" x14ac:dyDescent="0.3">
      <c r="G26">
        <v>7</v>
      </c>
      <c r="H26">
        <f t="shared" si="3"/>
        <v>7</v>
      </c>
      <c r="I26">
        <f t="shared" si="4"/>
        <v>0.10818181818181817</v>
      </c>
    </row>
    <row r="27" spans="6:9" x14ac:dyDescent="0.3">
      <c r="G27">
        <v>8</v>
      </c>
      <c r="H27">
        <f t="shared" si="3"/>
        <v>3</v>
      </c>
      <c r="I27">
        <f t="shared" si="4"/>
        <v>4.6363636363636364E-2</v>
      </c>
    </row>
    <row r="28" spans="6:9" x14ac:dyDescent="0.3">
      <c r="G28">
        <v>9</v>
      </c>
      <c r="H28">
        <f t="shared" si="3"/>
        <v>6</v>
      </c>
      <c r="I28">
        <f t="shared" si="4"/>
        <v>9.2727272727272728E-2</v>
      </c>
    </row>
    <row r="29" spans="6:9" x14ac:dyDescent="0.3">
      <c r="G29">
        <v>10</v>
      </c>
      <c r="H29">
        <f t="shared" si="3"/>
        <v>1</v>
      </c>
      <c r="I29">
        <f t="shared" si="4"/>
        <v>1.5454545454545455E-2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QRD + PRD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Schimmel</dc:creator>
  <cp:lastModifiedBy>Tiny</cp:lastModifiedBy>
  <dcterms:created xsi:type="dcterms:W3CDTF">2022-04-16T15:35:18Z</dcterms:created>
  <dcterms:modified xsi:type="dcterms:W3CDTF">2022-04-22T10:19:07Z</dcterms:modified>
</cp:coreProperties>
</file>